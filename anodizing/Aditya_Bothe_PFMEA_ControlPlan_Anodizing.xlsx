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FMEA" sheetId="1" state="visible" r:id="rId3"/>
    <sheet name="Rating Scales" sheetId="2" state="visible" r:id="rId4"/>
    <sheet name="Control Plan" sheetId="3" state="visible" r:id="rId5"/>
  </sheets>
  <definedNames>
    <definedName function="false" hidden="false" localSheetId="2" name="_xlnm.Print_Titles" vbProcedure="false">'Control Plan'!$6:$6</definedName>
    <definedName function="false" hidden="false" localSheetId="0" name="_xlnm.Print_Titles" vbProcedure="false">PFMEA!$6:$6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<sst xmlns="http://schemas.openxmlformats.org/spreadsheetml/2006/main" count="281" uniqueCount="234">
  <si>
    <t xml:space="preserve">PROCESS FAILURE MODE AND EFFECTS ANALYSIS (PFMEA)</t>
  </si>
  <si>
    <t xml:space="preserve">Process:</t>
  </si>
  <si>
    <t xml:space="preserve">Aluminium Anodizing Line, 10-Tank Batch Process</t>
  </si>
  <si>
    <t xml:space="preserve">Prepared by:</t>
  </si>
  <si>
    <t xml:space="preserve">Aditya Bothe</t>
  </si>
  <si>
    <t xml:space="preserve">Scope:</t>
  </si>
  <si>
    <t xml:space="preserve">Caustic etch through seal; rack-and-crane batch transfer</t>
  </si>
  <si>
    <t xml:space="preserve">Date:</t>
  </si>
  <si>
    <t xml:space="preserve">October 2026</t>
  </si>
  <si>
    <t xml:space="preserve">Reference:</t>
  </si>
  <si>
    <t xml:space="preserve">AIAG-VDA FMEA methodology (RPN shown; AP equivalent noted)</t>
  </si>
  <si>
    <t xml:space="preserve">Revision:</t>
  </si>
  <si>
    <t xml:space="preserve">1.0</t>
  </si>
  <si>
    <t xml:space="preserve">Process Step</t>
  </si>
  <si>
    <t xml:space="preserve">Process Function /
Requirement</t>
  </si>
  <si>
    <t xml:space="preserve">Potential Failure Mode</t>
  </si>
  <si>
    <t xml:space="preserve">Potential Effect(s)
of Failure</t>
  </si>
  <si>
    <t xml:space="preserve">S</t>
  </si>
  <si>
    <t xml:space="preserve">Potential Cause(s) /
Mechanism</t>
  </si>
  <si>
    <t xml:space="preserve">O</t>
  </si>
  <si>
    <t xml:space="preserve">Current Prevention
Controls</t>
  </si>
  <si>
    <t xml:space="preserve">Current Detection
Controls</t>
  </si>
  <si>
    <t xml:space="preserve">D</t>
  </si>
  <si>
    <t xml:space="preserve">RPN</t>
  </si>
  <si>
    <t xml:space="preserve">Recommended Action</t>
  </si>
  <si>
    <t xml:space="preserve">New
RPN</t>
  </si>
  <si>
    <t xml:space="preserve">Caustic Etch
(Tank 1)</t>
  </si>
  <si>
    <t xml:space="preserve">Remove surface oxide, die lines and contamination; produce uniform matte base</t>
  </si>
  <si>
    <t xml:space="preserve">Over-etch, excessive metal removal</t>
  </si>
  <si>
    <t xml:space="preserve">Dimensional loss on tolerance-critical sections; excessively dull or rough finish. Irreversible, material cannot be restored.</t>
  </si>
  <si>
    <t xml:space="preserve">Dwell time exceeded; caustic concentration high after fresh makeup; bath temperature elevated; load left soaking during line stoppage</t>
  </si>
  <si>
    <t xml:space="preserve">Standard dwell time per section profile; weekly hydrometer check on bath concentration</t>
  </si>
  <si>
    <t xml:space="preserve">Visual check of finish after rinse; dimensional check only where customer specifies tolerance</t>
  </si>
  <si>
    <t xml:space="preserve">Define and enforce maximum dwell time per profile. Require load removal if line stops mid-cycle. Add dimensional spot-check on tolerance-critical sections.</t>
  </si>
  <si>
    <t xml:space="preserve">Racking
(Pre-Tank 1)</t>
  </si>
  <si>
    <t xml:space="preserve">Secure sections to J-rods ensuring continuous electrical contact for anodizing current</t>
  </si>
  <si>
    <t xml:space="preserve">Loose or oxidised clamp contact</t>
  </si>
  <si>
    <t xml:space="preserve">No coating or partial coating on affected section; piece is scrap</t>
  </si>
  <si>
    <t xml:space="preserve">Inconsistent operator tie-down; oxidised rod contact surface; excessive load count per rod</t>
  </si>
  <si>
    <t xml:space="preserve">Standard racking method; defined sections per load</t>
  </si>
  <si>
    <t xml:space="preserve">Visual inspection after de-racking</t>
  </si>
  <si>
    <t xml:space="preserve">Standardise contact points and tie-down torque. Introduce periodic rod contact cleaning schedule. Add racking check before crane lift.</t>
  </si>
  <si>
    <t xml:space="preserve">Sulfuric Anodize
(Tank 5)</t>
  </si>
  <si>
    <t xml:space="preserve">Build anodic oxide layer to customer-specified micron thickness</t>
  </si>
  <si>
    <t xml:space="preserve">Coating thickness below specification</t>
  </si>
  <si>
    <t xml:space="preserve">Batch rejected by customer; full re-anodize required</t>
  </si>
  <si>
    <t xml:space="preserve">Dwell time short; current below target; load surface area miscalculated against rectifier output</t>
  </si>
  <si>
    <t xml:space="preserve">Defined dwell time per micron target; rectifier setpoint 13 to 17 V / 1600 to 1700 A; load area calculated per rack</t>
  </si>
  <si>
    <t xml:space="preserve">DFT (dry film thickness) meter check on every load prior to de-racking</t>
  </si>
  <si>
    <t xml:space="preserve">Maintain current control. Record thickness readings per load to enable SPC trending rather than pass/fail inspection only.</t>
  </si>
  <si>
    <t xml:space="preserve">Maintain bath temperature within process window during anodizing</t>
  </si>
  <si>
    <t xml:space="preserve">Soft, porous coating from bath temperature excursion</t>
  </si>
  <si>
    <t xml:space="preserve">Passes thickness and visual inspection but fails abrasion and corrosion resistance in service at customer site</t>
  </si>
  <si>
    <t xml:space="preserve">Chiller underperforming; cooling tower fouled; bath exceeds upper temperature limit under sustained load</t>
  </si>
  <si>
    <t xml:space="preserve">9-ton chiller with cooling tower on continuous duty</t>
  </si>
  <si>
    <t xml:space="preserve">None effective. Thickness and appearance are unaffected, and softness cannot be detected by DFT meter or visually.</t>
  </si>
  <si>
    <t xml:space="preserve">Log bath temperature per load with defined upper alarm limit. Add preventive maintenance schedule for chiller and cooling tower. Halt line on excursion.</t>
  </si>
  <si>
    <t xml:space="preserve">Colour
(Tank 7)</t>
  </si>
  <si>
    <t xml:space="preserve">Deposit dye into anodic pore structure to achieve customer-specified shade</t>
  </si>
  <si>
    <t xml:space="preserve">Shade outside customer tolerance (uniform batch drift)</t>
  </si>
  <si>
    <t xml:space="preserve">Batch rejected. Light shade can be re-dipped; dark shade requires full strip and re-anodize.</t>
  </si>
  <si>
    <t xml:space="preserve">Dwell time error; rectifier current not set for target shade; dye bath depleted over successive loads</t>
  </si>
  <si>
    <t xml:space="preserve">Defined dwell time and current per shade; colour rectifier 500 A / 200 V; weekly chemistry check</t>
  </si>
  <si>
    <t xml:space="preserve">Visual comparison against retained master sample before packing</t>
  </si>
  <si>
    <t xml:space="preserve">Compare every batch against retained master under consistent lighting rather than on exception. Track dye bath depletion against cumulative load area.</t>
  </si>
  <si>
    <t xml:space="preserve">Seal
(Tank 9)</t>
  </si>
  <si>
    <t xml:space="preserve">Close anodic pore structure at ambient temperature to lock in dye and provide corrosion resistance</t>
  </si>
  <si>
    <t xml:space="preserve">Incomplete or partial seal</t>
  </si>
  <si>
    <t xml:space="preserve">Colour bleeds or fades in service; corrosion resistance compromised. Defect appears weeks to months after customer installation.</t>
  </si>
  <si>
    <t xml:space="preserve">Seal bath chemistry or pH outside working range; dwell time short; bath depleted or contaminated by rinse carryover</t>
  </si>
  <si>
    <t xml:space="preserve">Defined dwell time; weekly hydrometer check on bath concentration (pH not monitored)</t>
  </si>
  <si>
    <t xml:space="preserve">None. A sealed and an unsealed part look identical and read identically on a DFT meter.</t>
  </si>
  <si>
    <t xml:space="preserve">Introduce sampled seal quality testing (ASTM B136 dye stain or ASTM B680 acid dissolution). Add pH monitoring to the weekly chemistry check, cold seal is pH-sensitive and concentration alone does not confirm bath health.</t>
  </si>
  <si>
    <t xml:space="preserve">Seal
(Tank 9), Dispatch</t>
  </si>
  <si>
    <t xml:space="preserve">Allow cold seal reaction to complete before material leaves the facility</t>
  </si>
  <si>
    <t xml:space="preserve">Material packed and dispatched before seal aging is complete</t>
  </si>
  <si>
    <t xml:space="preserve">Seal continues developing in transit or at customer site; corrosion resistance and dye retention not assured at point of delivery</t>
  </si>
  <si>
    <t xml:space="preserve">Cold (ambient-temperature) seal continues reacting for approximately 24 to 48 hours after immersion; same-day dispatch does not allow completion</t>
  </si>
  <si>
    <t xml:space="preserve">None. No defined hold period between sealing and dispatch.</t>
  </si>
  <si>
    <t xml:space="preserve">None. Seal state cannot be verified at dispatch.</t>
  </si>
  <si>
    <t xml:space="preserve">Define a minimum hold period between sealing and packing, aligned to the seal supplier's stated aging time. Record seal completion date per batch on the dispatch record.</t>
  </si>
  <si>
    <t xml:space="preserve">NOTES ON APPLICATION</t>
  </si>
  <si>
    <t xml:space="preserve">Severity is driven by the effect on the customer and cannot be reduced without changing the product specification or process design.</t>
  </si>
  <si>
    <t xml:space="preserve">Occurrence is reduced by prevention controls. Detection is reduced by detection controls. The two are listed separately for this reason.</t>
  </si>
  <si>
    <t xml:space="preserve">Detection is scored inversely: 1 means the defect cannot escape; 10 means it cannot be detected in-house.</t>
  </si>
  <si>
    <t xml:space="preserve">The three highest-risk failure modes, seal aging incomplete at dispatch, incomplete seal, and bath temperature excursion, score high not because they occur often, but because none can be detected in-house before the material reaches the customer.</t>
  </si>
  <si>
    <t xml:space="preserve">Thickness below specification scores lowest despite being a critical characteristic, because per-load DFT verification already provides strong detection.</t>
  </si>
  <si>
    <t xml:space="preserve">The current AIAG-VDA handbook replaces RPN with an Action Priority (AP) rating. RPN is retained here for clarity; AP would rank the same two failure modes highest.</t>
  </si>
  <si>
    <t xml:space="preserve">Cold (ambient-temperature) sealing continues reacting after immersion, so a part is not fully sealed when it leaves the tank, this makes dispatch timing a process characteristic in its own right.</t>
  </si>
  <si>
    <t xml:space="preserve">RATING SCALES, ANCHORED TO THIS PROCESS</t>
  </si>
  <si>
    <t xml:space="preserve">Rating</t>
  </si>
  <si>
    <t xml:space="preserve">Severity (S), effect on customer</t>
  </si>
  <si>
    <t xml:space="preserve">Occurrence (O), how often the cause arises</t>
  </si>
  <si>
    <t xml:space="preserve">Detection (D), chance of catching it in-house</t>
  </si>
  <si>
    <t xml:space="preserve">9 to 10</t>
  </si>
  <si>
    <t xml:space="preserve">Safety risk, or coating fails in service after customer installation</t>
  </si>
  <si>
    <t xml:space="preserve">Occurs on most loads</t>
  </si>
  <si>
    <t xml:space="preserve">Not detectable in-house. The customer discovers the defect.</t>
  </si>
  <si>
    <t xml:space="preserve">7 to 8</t>
  </si>
  <si>
    <t xml:space="preserve">Customer rejects the batch; full rework or scrap required</t>
  </si>
  <si>
    <t xml:space="preserve">Occurs weekly</t>
  </si>
  <si>
    <t xml:space="preserve">Only caught if an operator happens to notice</t>
  </si>
  <si>
    <t xml:space="preserve">5 to 6</t>
  </si>
  <si>
    <t xml:space="preserve">Visible cosmetic defect; partial rework</t>
  </si>
  <si>
    <t xml:space="preserve">Occurs monthly</t>
  </si>
  <si>
    <t xml:space="preserve">Caught by visual inspection before packing</t>
  </si>
  <si>
    <t xml:space="preserve">3 to 4</t>
  </si>
  <si>
    <t xml:space="preserve">Minor appearance variation; likely accepted</t>
  </si>
  <si>
    <t xml:space="preserve">Occurs a few times per year</t>
  </si>
  <si>
    <t xml:space="preserve">Caught by DFT verification on every load</t>
  </si>
  <si>
    <t xml:space="preserve">1 to 2</t>
  </si>
  <si>
    <t xml:space="preserve">No perceptible customer impact</t>
  </si>
  <si>
    <t xml:space="preserve">Essentially never occurs</t>
  </si>
  <si>
    <t xml:space="preserve">Caught automatically; defect cannot pass</t>
  </si>
  <si>
    <t xml:space="preserve">RPN = S x O x D. Priority follows from the product rather than any single score. A severity of 9 paired with poor detection outranks a frequent but easily caught defect.</t>
  </si>
  <si>
    <t xml:space="preserve">PROCESS CONTROL PLAN FOR ALUMINIUM ANODIZING LINE</t>
  </si>
  <si>
    <t xml:space="preserve">Linked to:</t>
  </si>
  <si>
    <t xml:space="preserve">PFMEA Rev 1.0 (see PFMEA tab), IATF 16949 cl. 8.5.1.1 linkage</t>
  </si>
  <si>
    <t xml:space="preserve">Stage:</t>
  </si>
  <si>
    <t xml:space="preserve">Production</t>
  </si>
  <si>
    <t xml:space="preserve">No.</t>
  </si>
  <si>
    <t xml:space="preserve">Process Step /
Operation</t>
  </si>
  <si>
    <t xml:space="preserve">Machine / Device</t>
  </si>
  <si>
    <t xml:space="preserve">Characteristic</t>
  </si>
  <si>
    <t xml:space="preserve">Type</t>
  </si>
  <si>
    <t xml:space="preserve">Specification /
Tolerance</t>
  </si>
  <si>
    <t xml:space="preserve">Evaluation /
Measurement Technique</t>
  </si>
  <si>
    <t xml:space="preserve">Sample
Size</t>
  </si>
  <si>
    <t xml:space="preserve">Frequency</t>
  </si>
  <si>
    <t xml:space="preserve">Control Method</t>
  </si>
  <si>
    <t xml:space="preserve">Reaction Plan</t>
  </si>
  <si>
    <t xml:space="preserve">PFMEA
Ref</t>
  </si>
  <si>
    <t xml:space="preserve">Tank 1, caustic bath</t>
  </si>
  <si>
    <t xml:space="preserve">Immersion dwell time</t>
  </si>
  <si>
    <t xml:space="preserve">Process</t>
  </si>
  <si>
    <t xml:space="preserve">Per section profile standard; maximum dwell enforced</t>
  </si>
  <si>
    <t xml:space="preserve">Timer / operator log</t>
  </si>
  <si>
    <t xml:space="preserve">Each load</t>
  </si>
  <si>
    <t xml:space="preserve">Every load</t>
  </si>
  <si>
    <t xml:space="preserve">Standard work instruction; hard stop at maximum dwell</t>
  </si>
  <si>
    <t xml:space="preserve">Remove load immediately. Inspect finish and dimensions. Quarantine batch if over-etch suspected.</t>
  </si>
  <si>
    <t xml:space="preserve">1</t>
  </si>
  <si>
    <t xml:space="preserve">Bath concentration</t>
  </si>
  <si>
    <t xml:space="preserve">Target range per process standard</t>
  </si>
  <si>
    <t xml:space="preserve">Hydrometer (specific gravity)</t>
  </si>
  <si>
    <t xml:space="preserve">1 reading</t>
  </si>
  <si>
    <t xml:space="preserve">Weekly, or after replenishment</t>
  </si>
  <si>
    <t xml:space="preserve">Chemistry log; replenish to target</t>
  </si>
  <si>
    <t xml:space="preserve">Adjust bath to target before next load. Increase check frequency until stable.</t>
  </si>
  <si>
    <t xml:space="preserve">J-rods, clamps, overhead crane</t>
  </si>
  <si>
    <t xml:space="preserve">Electrical contact integrity</t>
  </si>
  <si>
    <t xml:space="preserve">All sections firmly clamped; contact surfaces free of oxide</t>
  </si>
  <si>
    <t xml:space="preserve">Visual check at racking and after de-racking</t>
  </si>
  <si>
    <t xml:space="preserve">Each rack</t>
  </si>
  <si>
    <t xml:space="preserve">Standardised racking method; defined sections per rod</t>
  </si>
  <si>
    <t xml:space="preserve">Re-rack affected sections and re-process. Clean rod contact surfaces.</t>
  </si>
  <si>
    <t xml:space="preserve">2</t>
  </si>
  <si>
    <t xml:space="preserve">Tank 5; anodizing rectifier</t>
  </si>
  <si>
    <t xml:space="preserve">Coating thickness</t>
  </si>
  <si>
    <t xml:space="preserve">Product</t>
  </si>
  <si>
    <t xml:space="preserve">Customer-specified microns (e.g. 18 µm minimum)</t>
  </si>
  <si>
    <t xml:space="preserve">DFT (dry film thickness) meter</t>
  </si>
  <si>
    <t xml:space="preserve">Per load</t>
  </si>
  <si>
    <t xml:space="preserve">Every load, prior to de-racking</t>
  </si>
  <si>
    <t xml:space="preserve">Reading recorded per load; trend chart maintained</t>
  </si>
  <si>
    <t xml:space="preserve">Re-anodize if below specification. Verify rectifier output and load area calculation.</t>
  </si>
  <si>
    <t xml:space="preserve">3</t>
  </si>
  <si>
    <t xml:space="preserve">Anodizing rectifier</t>
  </si>
  <si>
    <t xml:space="preserve">Rectifier voltage and current</t>
  </si>
  <si>
    <t xml:space="preserve">13 to 17 V (nominal 15 V); 1600 to 1700 A</t>
  </si>
  <si>
    <t xml:space="preserve">Panel instrumentation</t>
  </si>
  <si>
    <t xml:space="preserve">Continuous</t>
  </si>
  <si>
    <t xml:space="preserve">Each load, at start and mid-cycle</t>
  </si>
  <si>
    <t xml:space="preserve">Setpoint verified against load surface area</t>
  </si>
  <si>
    <t xml:space="preserve">Stop load. Recalculate load area and reset rectifier. Inspect contacts.</t>
  </si>
  <si>
    <t xml:space="preserve">9-ton chiller; cooling tower</t>
  </si>
  <si>
    <t xml:space="preserve">Bath temperature</t>
  </si>
  <si>
    <t xml:space="preserve">Within defined process window; upper alarm limit set</t>
  </si>
  <si>
    <t xml:space="preserve">Temperature probe with logged reading</t>
  </si>
  <si>
    <t xml:space="preserve">Logged per load</t>
  </si>
  <si>
    <t xml:space="preserve">Automated logging with alarm on excursion</t>
  </si>
  <si>
    <t xml:space="preserve">Halt line. Quarantine affected loads for seal and hardness verification. Service chiller and cooling tower.</t>
  </si>
  <si>
    <t xml:space="preserve">4</t>
  </si>
  <si>
    <t xml:space="preserve">Tank 7; colour rectifier</t>
  </si>
  <si>
    <t xml:space="preserve">Shade match to specification</t>
  </si>
  <si>
    <t xml:space="preserve">Match to retained master sample within customer tolerance</t>
  </si>
  <si>
    <t xml:space="preserve">Visual comparison under consistent lighting</t>
  </si>
  <si>
    <t xml:space="preserve">Retained master sample per colour; comparison recorded</t>
  </si>
  <si>
    <t xml:space="preserve">Light shade: re-dip. Dark shade: strip and re-anodize. Check dye bath depletion.</t>
  </si>
  <si>
    <t xml:space="preserve">5</t>
  </si>
  <si>
    <t xml:space="preserve">Colour rectifier</t>
  </si>
  <si>
    <t xml:space="preserve">Dwell time and current</t>
  </si>
  <si>
    <t xml:space="preserve">Per shade standard; rectifier 500 A / 200 V</t>
  </si>
  <si>
    <t xml:space="preserve">Timer; panel instrumentation</t>
  </si>
  <si>
    <t xml:space="preserve">Shade-specific parameter table</t>
  </si>
  <si>
    <t xml:space="preserve">Adjust to standard. Verify dye concentration if repeated drift observed.</t>
  </si>
  <si>
    <t xml:space="preserve">Tank 9, seal bath</t>
  </si>
  <si>
    <t xml:space="preserve">Seal quality</t>
  </si>
  <si>
    <t xml:space="preserve">Complete pore closure; no dye bleed</t>
  </si>
  <si>
    <t xml:space="preserve">ASTM B136 dye stain or ASTM B680 acid dissolution</t>
  </si>
  <si>
    <t xml:space="preserve">Sampled</t>
  </si>
  <si>
    <t xml:space="preserve">Per batch / per shift</t>
  </si>
  <si>
    <t xml:space="preserve">Sampled destructive test; result logged</t>
  </si>
  <si>
    <t xml:space="preserve">Quarantine batch. Re-seal if viable. Investigate bath chemistry and temperature.</t>
  </si>
  <si>
    <t xml:space="preserve">6</t>
  </si>
  <si>
    <t xml:space="preserve">Seal bath chemistry, pH and dwell time</t>
  </si>
  <si>
    <t xml:space="preserve">Ambient temperature; concentration and pH per supplier working range</t>
  </si>
  <si>
    <t xml:space="preserve">Hydrometer (concentration); pH meter</t>
  </si>
  <si>
    <t xml:space="preserve">Weekly</t>
  </si>
  <si>
    <t xml:space="preserve">Chemistry log including pH</t>
  </si>
  <si>
    <t xml:space="preserve">Halt sealing. Correct bath chemistry before further loads. Hold affected batches pending seal verification.</t>
  </si>
  <si>
    <t xml:space="preserve">Dispatch
(Post-Seal)</t>
  </si>
  <si>
    <t xml:space="preserve">Packing and staging area</t>
  </si>
  <si>
    <t xml:space="preserve">Seal aging hold period</t>
  </si>
  <si>
    <t xml:space="preserve">Minimum hold between sealing and dispatch per supplier aging time (typically 24 to 48 h for cold seal)</t>
  </si>
  <si>
    <t xml:space="preserve">Date and time recorded at seal and at dispatch</t>
  </si>
  <si>
    <t xml:space="preserve">Each batch</t>
  </si>
  <si>
    <t xml:space="preserve">Every batch</t>
  </si>
  <si>
    <t xml:space="preserve">Seal completion date logged on batch record; dispatch released only after hold elapsed</t>
  </si>
  <si>
    <t xml:space="preserve">Hold batch until aging period complete. Do not release early regardless of schedule pressure.</t>
  </si>
  <si>
    <t xml:space="preserve">7</t>
  </si>
  <si>
    <t xml:space="preserve">Rinse
(Tanks 2,4,6,8,10)</t>
  </si>
  <si>
    <t xml:space="preserve">DM water tanks</t>
  </si>
  <si>
    <t xml:space="preserve">DM water quality</t>
  </si>
  <si>
    <t xml:space="preserve">TDS 2 to 3</t>
  </si>
  <si>
    <t xml:space="preserve">TDS meter</t>
  </si>
  <si>
    <t xml:space="preserve">Chemistry log; regenerate or replace as required</t>
  </si>
  <si>
    <t xml:space="preserve">Replace or regenerate DM water. Inspect prior loads for staining or carryover.</t>
  </si>
  <si>
    <t xml:space="preserve">1, 5</t>
  </si>
  <si>
    <t xml:space="preserve">NOTES</t>
  </si>
  <si>
    <t xml:space="preserve">Product characteristics (shaded) are measured on the finished part; process characteristics are the settings and conditions that produce them.</t>
  </si>
  <si>
    <t xml:space="preserve">Every reaction plan names who acts and what happens to suspect material, a control plan without a reaction plan is only a measurement list.</t>
  </si>
  <si>
    <t xml:space="preserve">Characteristics 6, 9 and 10 were added as a direct result of the PFMEA: bath temperature and seal quality were previously uncontrolled and undetectable.</t>
  </si>
  <si>
    <t xml:space="preserve">Frequencies reflect process knowledge rather than convention, weekly chemistry checks are set against known throughput between replenishment cycles.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</si>
</sst>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943634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1F3864"/>
        <bgColor rgb="FF33339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404040"/>
      </top>
      <bottom style="medium">
        <color rgb="FF40404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43634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3" min="2" style="1" width="24"/>
    <col collapsed="false" customWidth="true" hidden="false" outlineLevel="0" max="4" min="4" style="1" width="30"/>
    <col collapsed="false" customWidth="true" hidden="false" outlineLevel="0" max="5" min="5" style="1" width="4"/>
    <col collapsed="false" customWidth="true" hidden="false" outlineLevel="0" max="6" min="6" style="1" width="30"/>
    <col collapsed="false" customWidth="true" hidden="false" outlineLevel="0" max="7" min="7" style="1" width="4"/>
    <col collapsed="false" customWidth="true" hidden="false" outlineLevel="0" max="9" min="8" style="1" width="26"/>
    <col collapsed="false" customWidth="true" hidden="false" outlineLevel="0" max="10" min="10" style="1" width="4"/>
    <col collapsed="false" customWidth="true" hidden="false" outlineLevel="0" max="11" min="11" style="1" width="6"/>
    <col collapsed="false" customWidth="true" hidden="false" outlineLevel="0" max="12" min="12" style="1" width="32"/>
    <col collapsed="false" customWidth="true" hidden="false" outlineLevel="0" max="15" min="13" style="1" width="4"/>
    <col collapsed="false" customWidth="true" hidden="false" outlineLevel="0" max="16" min="16" style="1" width="7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/>
      <c r="H2" s="4"/>
      <c r="J2" s="3"/>
      <c r="K2" s="5"/>
      <c r="L2" s="6" t="s">
        <v>3</v>
      </c>
      <c r="M2" s="6"/>
      <c r="N2" s="7" t="s">
        <v>4</v>
      </c>
      <c r="O2" s="7"/>
      <c r="P2" s="7"/>
    </row>
    <row r="3" customFormat="false" ht="15" hidden="false" customHeight="true" outlineLevel="0" collapsed="false">
      <c r="A3" s="3" t="s">
        <v>5</v>
      </c>
      <c r="B3" s="4" t="s">
        <v>6</v>
      </c>
      <c r="C3" s="4"/>
      <c r="D3" s="4"/>
      <c r="E3" s="4"/>
      <c r="F3" s="4"/>
      <c r="G3" s="4"/>
      <c r="H3" s="4"/>
      <c r="J3" s="3"/>
      <c r="K3" s="5"/>
      <c r="L3" s="6" t="s">
        <v>7</v>
      </c>
      <c r="M3" s="6"/>
      <c r="N3" s="7" t="s">
        <v>8</v>
      </c>
      <c r="O3" s="7"/>
      <c r="P3" s="7"/>
    </row>
    <row r="4" customFormat="false" ht="15" hidden="false" customHeight="true" outlineLevel="0" collapsed="false">
      <c r="A4" s="3" t="s">
        <v>9</v>
      </c>
      <c r="B4" s="4" t="s">
        <v>10</v>
      </c>
      <c r="C4" s="4"/>
      <c r="D4" s="4"/>
      <c r="E4" s="4"/>
      <c r="F4" s="4"/>
      <c r="G4" s="4"/>
      <c r="H4" s="4"/>
      <c r="J4" s="3"/>
      <c r="K4" s="5"/>
      <c r="L4" s="6" t="s">
        <v>11</v>
      </c>
      <c r="M4" s="6"/>
      <c r="N4" s="7" t="s">
        <v>12</v>
      </c>
      <c r="O4" s="7"/>
      <c r="P4" s="7"/>
    </row>
    <row r="6" customFormat="false" ht="42" hidden="false" customHeight="true" outlineLevel="0" collapsed="false">
      <c r="A6" s="8" t="s">
        <v>13</v>
      </c>
      <c r="B6" s="8" t="s">
        <v>14</v>
      </c>
      <c r="C6" s="8" t="s">
        <v>15</v>
      </c>
      <c r="D6" s="8" t="s">
        <v>16</v>
      </c>
      <c r="E6" s="8" t="s">
        <v>17</v>
      </c>
      <c r="F6" s="8" t="s">
        <v>18</v>
      </c>
      <c r="G6" s="8" t="s">
        <v>19</v>
      </c>
      <c r="H6" s="8" t="s">
        <v>20</v>
      </c>
      <c r="I6" s="8" t="s">
        <v>21</v>
      </c>
      <c r="J6" s="8" t="s">
        <v>22</v>
      </c>
      <c r="K6" s="8" t="s">
        <v>23</v>
      </c>
      <c r="L6" s="8" t="s">
        <v>24</v>
      </c>
      <c r="M6" s="8" t="s">
        <v>17</v>
      </c>
      <c r="N6" s="8" t="s">
        <v>19</v>
      </c>
      <c r="O6" s="8" t="s">
        <v>22</v>
      </c>
      <c r="P6" s="8" t="s">
        <v>25</v>
      </c>
    </row>
    <row r="7" customFormat="false" ht="87.75" hidden="false" customHeight="true" outlineLevel="0" collapsed="false">
      <c r="A7" s="9" t="s">
        <v>26</v>
      </c>
      <c r="B7" s="9" t="s">
        <v>27</v>
      </c>
      <c r="C7" s="9" t="s">
        <v>28</v>
      </c>
      <c r="D7" s="9" t="s">
        <v>29</v>
      </c>
      <c r="E7" s="10" t="n">
        <v>7</v>
      </c>
      <c r="F7" s="9" t="s">
        <v>30</v>
      </c>
      <c r="G7" s="10" t="n">
        <v>4</v>
      </c>
      <c r="H7" s="9" t="s">
        <v>31</v>
      </c>
      <c r="I7" s="9" t="s">
        <v>32</v>
      </c>
      <c r="J7" s="10" t="n">
        <v>6</v>
      </c>
      <c r="K7" s="11" t="n">
        <f aca="false">E7*G7*J7</f>
        <v>168</v>
      </c>
      <c r="L7" s="9" t="s">
        <v>33</v>
      </c>
      <c r="M7" s="12" t="n">
        <v>7</v>
      </c>
      <c r="N7" s="12" t="n">
        <v>2</v>
      </c>
      <c r="O7" s="12" t="n">
        <v>4</v>
      </c>
      <c r="P7" s="13" t="n">
        <f aca="false">M7*N7*O7</f>
        <v>56</v>
      </c>
    </row>
    <row r="8" customFormat="false" ht="87.75" hidden="false" customHeight="true" outlineLevel="0" collapsed="false">
      <c r="A8" s="9" t="s">
        <v>34</v>
      </c>
      <c r="B8" s="9" t="s">
        <v>35</v>
      </c>
      <c r="C8" s="9" t="s">
        <v>36</v>
      </c>
      <c r="D8" s="9" t="s">
        <v>37</v>
      </c>
      <c r="E8" s="10" t="n">
        <v>8</v>
      </c>
      <c r="F8" s="9" t="s">
        <v>38</v>
      </c>
      <c r="G8" s="10" t="n">
        <v>5</v>
      </c>
      <c r="H8" s="9" t="s">
        <v>39</v>
      </c>
      <c r="I8" s="9" t="s">
        <v>40</v>
      </c>
      <c r="J8" s="10" t="n">
        <v>5</v>
      </c>
      <c r="K8" s="11" t="n">
        <f aca="false">E8*G8*J8</f>
        <v>200</v>
      </c>
      <c r="L8" s="9" t="s">
        <v>41</v>
      </c>
      <c r="M8" s="12" t="n">
        <v>8</v>
      </c>
      <c r="N8" s="12" t="n">
        <v>3</v>
      </c>
      <c r="O8" s="12" t="n">
        <v>3</v>
      </c>
      <c r="P8" s="13" t="n">
        <f aca="false">M8*N8*O8</f>
        <v>72</v>
      </c>
    </row>
    <row r="9" customFormat="false" ht="87.75" hidden="false" customHeight="true" outlineLevel="0" collapsed="false">
      <c r="A9" s="9" t="s">
        <v>42</v>
      </c>
      <c r="B9" s="9" t="s">
        <v>43</v>
      </c>
      <c r="C9" s="9" t="s">
        <v>44</v>
      </c>
      <c r="D9" s="9" t="s">
        <v>45</v>
      </c>
      <c r="E9" s="10" t="n">
        <v>7</v>
      </c>
      <c r="F9" s="9" t="s">
        <v>46</v>
      </c>
      <c r="G9" s="10" t="n">
        <v>4</v>
      </c>
      <c r="H9" s="9" t="s">
        <v>47</v>
      </c>
      <c r="I9" s="9" t="s">
        <v>48</v>
      </c>
      <c r="J9" s="10" t="n">
        <v>6</v>
      </c>
      <c r="K9" s="11" t="n">
        <f aca="false">E9*G9*J9</f>
        <v>168</v>
      </c>
      <c r="L9" s="9" t="s">
        <v>49</v>
      </c>
      <c r="M9" s="12" t="n">
        <v>7</v>
      </c>
      <c r="N9" s="12" t="n">
        <v>3</v>
      </c>
      <c r="O9" s="12" t="n">
        <v>2</v>
      </c>
      <c r="P9" s="13" t="n">
        <f aca="false">M9*N9*O9</f>
        <v>42</v>
      </c>
    </row>
    <row r="10" customFormat="false" ht="87.75" hidden="false" customHeight="true" outlineLevel="0" collapsed="false">
      <c r="A10" s="9" t="s">
        <v>42</v>
      </c>
      <c r="B10" s="9" t="s">
        <v>50</v>
      </c>
      <c r="C10" s="9" t="s">
        <v>51</v>
      </c>
      <c r="D10" s="9" t="s">
        <v>52</v>
      </c>
      <c r="E10" s="10" t="n">
        <v>9</v>
      </c>
      <c r="F10" s="9" t="s">
        <v>53</v>
      </c>
      <c r="G10" s="10" t="n">
        <v>3</v>
      </c>
      <c r="H10" s="9" t="s">
        <v>54</v>
      </c>
      <c r="I10" s="9" t="s">
        <v>55</v>
      </c>
      <c r="J10" s="10" t="n">
        <v>8</v>
      </c>
      <c r="K10" s="11" t="n">
        <f aca="false">E10*G10*J10</f>
        <v>216</v>
      </c>
      <c r="L10" s="9" t="s">
        <v>56</v>
      </c>
      <c r="M10" s="12" t="n">
        <v>9</v>
      </c>
      <c r="N10" s="12" t="n">
        <v>2</v>
      </c>
      <c r="O10" s="12" t="n">
        <v>3</v>
      </c>
      <c r="P10" s="13" t="n">
        <f aca="false">M10*N10*O10</f>
        <v>54</v>
      </c>
    </row>
    <row r="11" customFormat="false" ht="87.75" hidden="false" customHeight="true" outlineLevel="0" collapsed="false">
      <c r="A11" s="9" t="s">
        <v>57</v>
      </c>
      <c r="B11" s="9" t="s">
        <v>58</v>
      </c>
      <c r="C11" s="9" t="s">
        <v>59</v>
      </c>
      <c r="D11" s="9" t="s">
        <v>60</v>
      </c>
      <c r="E11" s="10" t="n">
        <v>7</v>
      </c>
      <c r="F11" s="9" t="s">
        <v>61</v>
      </c>
      <c r="G11" s="10" t="n">
        <v>6</v>
      </c>
      <c r="H11" s="9" t="s">
        <v>62</v>
      </c>
      <c r="I11" s="9" t="s">
        <v>63</v>
      </c>
      <c r="J11" s="10" t="n">
        <v>5</v>
      </c>
      <c r="K11" s="11" t="n">
        <f aca="false">E11*G11*J11</f>
        <v>210</v>
      </c>
      <c r="L11" s="9" t="s">
        <v>64</v>
      </c>
      <c r="M11" s="12" t="n">
        <v>7</v>
      </c>
      <c r="N11" s="12" t="n">
        <v>3</v>
      </c>
      <c r="O11" s="12" t="n">
        <v>3</v>
      </c>
      <c r="P11" s="13" t="n">
        <f aca="false">M11*N11*O11</f>
        <v>63</v>
      </c>
    </row>
    <row r="12" customFormat="false" ht="87.75" hidden="false" customHeight="true" outlineLevel="0" collapsed="false">
      <c r="A12" s="9" t="s">
        <v>65</v>
      </c>
      <c r="B12" s="9" t="s">
        <v>66</v>
      </c>
      <c r="C12" s="9" t="s">
        <v>67</v>
      </c>
      <c r="D12" s="9" t="s">
        <v>68</v>
      </c>
      <c r="E12" s="10" t="n">
        <v>9</v>
      </c>
      <c r="F12" s="9" t="s">
        <v>69</v>
      </c>
      <c r="G12" s="10" t="n">
        <v>2</v>
      </c>
      <c r="H12" s="9" t="s">
        <v>70</v>
      </c>
      <c r="I12" s="9" t="s">
        <v>71</v>
      </c>
      <c r="J12" s="10" t="n">
        <v>9</v>
      </c>
      <c r="K12" s="11" t="n">
        <f aca="false">E12*G12*J12</f>
        <v>162</v>
      </c>
      <c r="L12" s="9" t="s">
        <v>72</v>
      </c>
      <c r="M12" s="12" t="n">
        <v>9</v>
      </c>
      <c r="N12" s="12" t="n">
        <v>2</v>
      </c>
      <c r="O12" s="12" t="n">
        <v>3</v>
      </c>
      <c r="P12" s="13" t="n">
        <f aca="false">M12*N12*O12</f>
        <v>54</v>
      </c>
    </row>
    <row r="13" customFormat="false" ht="87.75" hidden="false" customHeight="true" outlineLevel="0" collapsed="false">
      <c r="A13" s="9" t="s">
        <v>73</v>
      </c>
      <c r="B13" s="9" t="s">
        <v>74</v>
      </c>
      <c r="C13" s="9" t="s">
        <v>75</v>
      </c>
      <c r="D13" s="9" t="s">
        <v>76</v>
      </c>
      <c r="E13" s="10" t="n">
        <v>9</v>
      </c>
      <c r="F13" s="9" t="s">
        <v>77</v>
      </c>
      <c r="G13" s="10" t="n">
        <v>2</v>
      </c>
      <c r="H13" s="9" t="s">
        <v>78</v>
      </c>
      <c r="I13" s="9" t="s">
        <v>79</v>
      </c>
      <c r="J13" s="10" t="n">
        <v>9</v>
      </c>
      <c r="K13" s="11" t="n">
        <f aca="false">E13*G13*J13</f>
        <v>162</v>
      </c>
      <c r="L13" s="9" t="s">
        <v>80</v>
      </c>
      <c r="M13" s="12" t="n">
        <v>9</v>
      </c>
      <c r="N13" s="12" t="n">
        <v>2</v>
      </c>
      <c r="O13" s="12" t="n">
        <v>3</v>
      </c>
      <c r="P13" s="13" t="n">
        <f aca="false">M13*N13*O13</f>
        <v>54</v>
      </c>
    </row>
    <row r="14" customFormat="false" ht="19.5" hidden="false" customHeight="tru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customFormat="false" ht="15.75" hidden="false" customHeight="true" outlineLevel="0" collapsed="false">
      <c r="A15" s="15" t="s">
        <v>81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</row>
    <row r="16" customFormat="false" ht="15.75" hidden="false" customHeight="true" outlineLevel="0" collapsed="false">
      <c r="A16" s="16" t="s">
        <v>82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customFormat="false" ht="15.75" hidden="false" customHeight="true" outlineLevel="0" collapsed="false">
      <c r="A17" s="16" t="s">
        <v>83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customFormat="false" ht="15.75" hidden="false" customHeight="true" outlineLevel="0" collapsed="false">
      <c r="A18" s="16" t="s">
        <v>84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customFormat="false" ht="15.75" hidden="false" customHeight="true" outlineLevel="0" collapsed="false">
      <c r="A19" s="17" t="s">
        <v>85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</row>
    <row r="20" customFormat="false" ht="15.75" hidden="false" customHeight="true" outlineLevel="0" collapsed="false">
      <c r="A20" s="16" t="s">
        <v>86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</row>
    <row r="21" customFormat="false" ht="13.5" hidden="false" customHeight="true" outlineLevel="0" collapsed="false">
      <c r="A21" s="17" t="s">
        <v>87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2" customFormat="false" ht="13.5" hidden="false" customHeight="true" outlineLevel="0" collapsed="false">
      <c r="A22" s="17" t="s">
        <v>88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</row>
  </sheetData>
  <mergeCells count="19">
    <mergeCell ref="A1:P1"/>
    <mergeCell ref="B2:H2"/>
    <mergeCell ref="L2:M2"/>
    <mergeCell ref="N2:P2"/>
    <mergeCell ref="B3:H3"/>
    <mergeCell ref="L3:M3"/>
    <mergeCell ref="N3:P3"/>
    <mergeCell ref="B4:H4"/>
    <mergeCell ref="L4:M4"/>
    <mergeCell ref="N4:P4"/>
    <mergeCell ref="A14:P14"/>
    <mergeCell ref="A15:P15"/>
    <mergeCell ref="A16:P16"/>
    <mergeCell ref="A17:P17"/>
    <mergeCell ref="A18:P18"/>
    <mergeCell ref="A19:P19"/>
    <mergeCell ref="A20:P20"/>
    <mergeCell ref="A21:P21"/>
    <mergeCell ref="A22:P22"/>
  </mergeCells>
  <printOptions headings="false" gridLines="false" gridLinesSet="true" horizontalCentered="false" verticalCentered="false"/>
  <pageMargins left="0.25" right="0.25" top="0.35" bottom="0.3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4" min="2" style="1" width="46"/>
  </cols>
  <sheetData>
    <row r="1" customFormat="false" ht="24" hidden="false" customHeight="true" outlineLevel="0" collapsed="false">
      <c r="A1" s="18" t="s">
        <v>89</v>
      </c>
      <c r="B1" s="18"/>
      <c r="C1" s="18"/>
      <c r="D1" s="18"/>
    </row>
    <row r="3" customFormat="false" ht="31.5" hidden="false" customHeight="true" outlineLevel="0" collapsed="false">
      <c r="A3" s="19" t="s">
        <v>90</v>
      </c>
      <c r="B3" s="19" t="s">
        <v>91</v>
      </c>
      <c r="C3" s="19" t="s">
        <v>92</v>
      </c>
      <c r="D3" s="19" t="s">
        <v>93</v>
      </c>
    </row>
    <row r="4" customFormat="false" ht="30" hidden="false" customHeight="true" outlineLevel="0" collapsed="false">
      <c r="A4" s="20" t="s">
        <v>94</v>
      </c>
      <c r="B4" s="21" t="s">
        <v>95</v>
      </c>
      <c r="C4" s="21" t="s">
        <v>96</v>
      </c>
      <c r="D4" s="21" t="s">
        <v>97</v>
      </c>
    </row>
    <row r="5" customFormat="false" ht="30" hidden="false" customHeight="true" outlineLevel="0" collapsed="false">
      <c r="A5" s="20" t="s">
        <v>98</v>
      </c>
      <c r="B5" s="21" t="s">
        <v>99</v>
      </c>
      <c r="C5" s="21" t="s">
        <v>100</v>
      </c>
      <c r="D5" s="21" t="s">
        <v>101</v>
      </c>
    </row>
    <row r="6" customFormat="false" ht="30" hidden="false" customHeight="true" outlineLevel="0" collapsed="false">
      <c r="A6" s="20" t="s">
        <v>102</v>
      </c>
      <c r="B6" s="21" t="s">
        <v>103</v>
      </c>
      <c r="C6" s="21" t="s">
        <v>104</v>
      </c>
      <c r="D6" s="21" t="s">
        <v>105</v>
      </c>
    </row>
    <row r="7" customFormat="false" ht="30" hidden="false" customHeight="true" outlineLevel="0" collapsed="false">
      <c r="A7" s="20" t="s">
        <v>106</v>
      </c>
      <c r="B7" s="21" t="s">
        <v>107</v>
      </c>
      <c r="C7" s="21" t="s">
        <v>108</v>
      </c>
      <c r="D7" s="21" t="s">
        <v>109</v>
      </c>
    </row>
    <row r="8" customFormat="false" ht="30" hidden="false" customHeight="true" outlineLevel="0" collapsed="false">
      <c r="A8" s="20" t="s">
        <v>110</v>
      </c>
      <c r="B8" s="21" t="s">
        <v>111</v>
      </c>
      <c r="C8" s="21" t="s">
        <v>112</v>
      </c>
      <c r="D8" s="21" t="s">
        <v>113</v>
      </c>
    </row>
    <row r="10" customFormat="false" ht="15" hidden="false" customHeight="true" outlineLevel="0" collapsed="false">
      <c r="A10" s="22" t="s">
        <v>114</v>
      </c>
      <c r="B10" s="22"/>
      <c r="C10" s="22"/>
      <c r="D10" s="22"/>
    </row>
  </sheetData>
  <mergeCells count="2">
    <mergeCell ref="A1:D1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7"/>
    <col collapsed="false" customWidth="true" hidden="false" outlineLevel="0" max="3" min="3" style="1" width="20"/>
    <col collapsed="false" customWidth="true" hidden="false" outlineLevel="0" max="4" min="4" style="1" width="24"/>
    <col collapsed="false" customWidth="true" hidden="false" outlineLevel="0" max="5" min="5" style="1" width="8"/>
    <col collapsed="false" customWidth="true" hidden="false" outlineLevel="0" max="7" min="6" style="1" width="24"/>
    <col collapsed="false" customWidth="true" hidden="false" outlineLevel="0" max="8" min="8" style="1" width="9"/>
    <col collapsed="false" customWidth="true" hidden="false" outlineLevel="0" max="9" min="9" style="1" width="15"/>
    <col collapsed="false" customWidth="true" hidden="false" outlineLevel="0" max="10" min="10" style="1" width="24"/>
    <col collapsed="false" customWidth="true" hidden="false" outlineLevel="0" max="11" min="11" style="1" width="34"/>
    <col collapsed="false" customWidth="true" hidden="false" outlineLevel="0" max="12" min="12" style="1" width="8"/>
  </cols>
  <sheetData>
    <row r="1" customFormat="false" ht="25.5" hidden="false" customHeight="true" outlineLevel="0" collapsed="false">
      <c r="A1" s="2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23" t="s">
        <v>1</v>
      </c>
      <c r="B2" s="23"/>
      <c r="C2" s="4" t="s">
        <v>2</v>
      </c>
      <c r="D2" s="4"/>
      <c r="E2" s="4"/>
      <c r="F2" s="4"/>
      <c r="G2" s="4"/>
      <c r="I2" s="6" t="s">
        <v>3</v>
      </c>
      <c r="J2" s="6"/>
      <c r="K2" s="4" t="s">
        <v>4</v>
      </c>
      <c r="L2" s="4"/>
    </row>
    <row r="3" customFormat="false" ht="15" hidden="false" customHeight="true" outlineLevel="0" collapsed="false">
      <c r="A3" s="23" t="s">
        <v>116</v>
      </c>
      <c r="B3" s="23"/>
      <c r="C3" s="4" t="s">
        <v>117</v>
      </c>
      <c r="D3" s="4"/>
      <c r="E3" s="4"/>
      <c r="F3" s="4"/>
      <c r="G3" s="4"/>
      <c r="I3" s="6" t="s">
        <v>7</v>
      </c>
      <c r="J3" s="6"/>
      <c r="K3" s="4" t="s">
        <v>8</v>
      </c>
      <c r="L3" s="4"/>
    </row>
    <row r="4" customFormat="false" ht="15" hidden="false" customHeight="true" outlineLevel="0" collapsed="false">
      <c r="A4" s="23" t="s">
        <v>118</v>
      </c>
      <c r="B4" s="23"/>
      <c r="C4" s="4" t="s">
        <v>119</v>
      </c>
      <c r="D4" s="4"/>
      <c r="E4" s="4"/>
      <c r="F4" s="4"/>
      <c r="G4" s="4"/>
      <c r="I4" s="6" t="s">
        <v>11</v>
      </c>
      <c r="J4" s="6"/>
      <c r="K4" s="4" t="s">
        <v>12</v>
      </c>
      <c r="L4" s="4"/>
    </row>
    <row r="6" customFormat="false" ht="39.75" hidden="false" customHeight="true" outlineLevel="0" collapsed="false">
      <c r="A6" s="8" t="s">
        <v>120</v>
      </c>
      <c r="B6" s="8" t="s">
        <v>121</v>
      </c>
      <c r="C6" s="8" t="s">
        <v>122</v>
      </c>
      <c r="D6" s="8" t="s">
        <v>123</v>
      </c>
      <c r="E6" s="8" t="s">
        <v>124</v>
      </c>
      <c r="F6" s="8" t="s">
        <v>125</v>
      </c>
      <c r="G6" s="8" t="s">
        <v>126</v>
      </c>
      <c r="H6" s="8" t="s">
        <v>127</v>
      </c>
      <c r="I6" s="8" t="s">
        <v>128</v>
      </c>
      <c r="J6" s="8" t="s">
        <v>129</v>
      </c>
      <c r="K6" s="8" t="s">
        <v>130</v>
      </c>
      <c r="L6" s="8" t="s">
        <v>131</v>
      </c>
    </row>
    <row r="7" customFormat="false" ht="45.75" hidden="false" customHeight="true" outlineLevel="0" collapsed="false">
      <c r="A7" s="24" t="n">
        <v>1</v>
      </c>
      <c r="B7" s="9" t="s">
        <v>26</v>
      </c>
      <c r="C7" s="9" t="s">
        <v>132</v>
      </c>
      <c r="D7" s="9" t="s">
        <v>133</v>
      </c>
      <c r="E7" s="25" t="s">
        <v>134</v>
      </c>
      <c r="F7" s="9" t="s">
        <v>135</v>
      </c>
      <c r="G7" s="9" t="s">
        <v>136</v>
      </c>
      <c r="H7" s="24" t="s">
        <v>137</v>
      </c>
      <c r="I7" s="9" t="s">
        <v>138</v>
      </c>
      <c r="J7" s="9" t="s">
        <v>139</v>
      </c>
      <c r="K7" s="9" t="s">
        <v>140</v>
      </c>
      <c r="L7" s="26" t="s">
        <v>141</v>
      </c>
    </row>
    <row r="8" customFormat="false" ht="45.75" hidden="false" customHeight="true" outlineLevel="0" collapsed="false">
      <c r="A8" s="24" t="n">
        <v>2</v>
      </c>
      <c r="B8" s="9" t="s">
        <v>26</v>
      </c>
      <c r="C8" s="9" t="s">
        <v>132</v>
      </c>
      <c r="D8" s="9" t="s">
        <v>142</v>
      </c>
      <c r="E8" s="25" t="s">
        <v>134</v>
      </c>
      <c r="F8" s="9" t="s">
        <v>143</v>
      </c>
      <c r="G8" s="9" t="s">
        <v>144</v>
      </c>
      <c r="H8" s="24" t="s">
        <v>145</v>
      </c>
      <c r="I8" s="9" t="s">
        <v>146</v>
      </c>
      <c r="J8" s="9" t="s">
        <v>147</v>
      </c>
      <c r="K8" s="9" t="s">
        <v>148</v>
      </c>
      <c r="L8" s="26" t="s">
        <v>141</v>
      </c>
    </row>
    <row r="9" customFormat="false" ht="45.75" hidden="false" customHeight="true" outlineLevel="0" collapsed="false">
      <c r="A9" s="24" t="n">
        <v>3</v>
      </c>
      <c r="B9" s="9" t="s">
        <v>34</v>
      </c>
      <c r="C9" s="9" t="s">
        <v>149</v>
      </c>
      <c r="D9" s="9" t="s">
        <v>150</v>
      </c>
      <c r="E9" s="25" t="s">
        <v>134</v>
      </c>
      <c r="F9" s="9" t="s">
        <v>151</v>
      </c>
      <c r="G9" s="9" t="s">
        <v>152</v>
      </c>
      <c r="H9" s="24" t="s">
        <v>153</v>
      </c>
      <c r="I9" s="9" t="s">
        <v>138</v>
      </c>
      <c r="J9" s="9" t="s">
        <v>154</v>
      </c>
      <c r="K9" s="9" t="s">
        <v>155</v>
      </c>
      <c r="L9" s="26" t="s">
        <v>156</v>
      </c>
    </row>
    <row r="10" customFormat="false" ht="45.75" hidden="false" customHeight="true" outlineLevel="0" collapsed="false">
      <c r="A10" s="24" t="n">
        <v>4</v>
      </c>
      <c r="B10" s="9" t="s">
        <v>42</v>
      </c>
      <c r="C10" s="9" t="s">
        <v>157</v>
      </c>
      <c r="D10" s="27" t="s">
        <v>158</v>
      </c>
      <c r="E10" s="28" t="s">
        <v>159</v>
      </c>
      <c r="F10" s="9" t="s">
        <v>160</v>
      </c>
      <c r="G10" s="9" t="s">
        <v>161</v>
      </c>
      <c r="H10" s="24" t="s">
        <v>162</v>
      </c>
      <c r="I10" s="9" t="s">
        <v>163</v>
      </c>
      <c r="J10" s="9" t="s">
        <v>164</v>
      </c>
      <c r="K10" s="9" t="s">
        <v>165</v>
      </c>
      <c r="L10" s="26" t="s">
        <v>166</v>
      </c>
    </row>
    <row r="11" customFormat="false" ht="45.75" hidden="false" customHeight="true" outlineLevel="0" collapsed="false">
      <c r="A11" s="24" t="n">
        <v>5</v>
      </c>
      <c r="B11" s="9" t="s">
        <v>42</v>
      </c>
      <c r="C11" s="9" t="s">
        <v>167</v>
      </c>
      <c r="D11" s="9" t="s">
        <v>168</v>
      </c>
      <c r="E11" s="25" t="s">
        <v>134</v>
      </c>
      <c r="F11" s="9" t="s">
        <v>169</v>
      </c>
      <c r="G11" s="9" t="s">
        <v>170</v>
      </c>
      <c r="H11" s="24" t="s">
        <v>171</v>
      </c>
      <c r="I11" s="9" t="s">
        <v>172</v>
      </c>
      <c r="J11" s="9" t="s">
        <v>173</v>
      </c>
      <c r="K11" s="9" t="s">
        <v>174</v>
      </c>
      <c r="L11" s="26" t="s">
        <v>166</v>
      </c>
    </row>
    <row r="12" customFormat="false" ht="45.75" hidden="false" customHeight="true" outlineLevel="0" collapsed="false">
      <c r="A12" s="24" t="n">
        <v>6</v>
      </c>
      <c r="B12" s="9" t="s">
        <v>42</v>
      </c>
      <c r="C12" s="9" t="s">
        <v>175</v>
      </c>
      <c r="D12" s="9" t="s">
        <v>176</v>
      </c>
      <c r="E12" s="25" t="s">
        <v>134</v>
      </c>
      <c r="F12" s="9" t="s">
        <v>177</v>
      </c>
      <c r="G12" s="9" t="s">
        <v>178</v>
      </c>
      <c r="H12" s="24" t="s">
        <v>171</v>
      </c>
      <c r="I12" s="9" t="s">
        <v>179</v>
      </c>
      <c r="J12" s="9" t="s">
        <v>180</v>
      </c>
      <c r="K12" s="9" t="s">
        <v>181</v>
      </c>
      <c r="L12" s="26" t="s">
        <v>182</v>
      </c>
    </row>
    <row r="13" customFormat="false" ht="45.75" hidden="false" customHeight="true" outlineLevel="0" collapsed="false">
      <c r="A13" s="24" t="n">
        <v>7</v>
      </c>
      <c r="B13" s="9" t="s">
        <v>57</v>
      </c>
      <c r="C13" s="9" t="s">
        <v>183</v>
      </c>
      <c r="D13" s="27" t="s">
        <v>184</v>
      </c>
      <c r="E13" s="28" t="s">
        <v>159</v>
      </c>
      <c r="F13" s="9" t="s">
        <v>185</v>
      </c>
      <c r="G13" s="9" t="s">
        <v>186</v>
      </c>
      <c r="H13" s="24" t="s">
        <v>137</v>
      </c>
      <c r="I13" s="9" t="s">
        <v>138</v>
      </c>
      <c r="J13" s="9" t="s">
        <v>187</v>
      </c>
      <c r="K13" s="9" t="s">
        <v>188</v>
      </c>
      <c r="L13" s="26" t="s">
        <v>189</v>
      </c>
    </row>
    <row r="14" customFormat="false" ht="45.75" hidden="false" customHeight="true" outlineLevel="0" collapsed="false">
      <c r="A14" s="24" t="n">
        <v>8</v>
      </c>
      <c r="B14" s="9" t="s">
        <v>57</v>
      </c>
      <c r="C14" s="9" t="s">
        <v>190</v>
      </c>
      <c r="D14" s="9" t="s">
        <v>191</v>
      </c>
      <c r="E14" s="25" t="s">
        <v>134</v>
      </c>
      <c r="F14" s="9" t="s">
        <v>192</v>
      </c>
      <c r="G14" s="9" t="s">
        <v>193</v>
      </c>
      <c r="H14" s="24" t="s">
        <v>137</v>
      </c>
      <c r="I14" s="9" t="s">
        <v>138</v>
      </c>
      <c r="J14" s="9" t="s">
        <v>194</v>
      </c>
      <c r="K14" s="9" t="s">
        <v>195</v>
      </c>
      <c r="L14" s="26" t="s">
        <v>189</v>
      </c>
    </row>
    <row r="15" customFormat="false" ht="45.75" hidden="false" customHeight="true" outlineLevel="0" collapsed="false">
      <c r="A15" s="24" t="n">
        <v>9</v>
      </c>
      <c r="B15" s="9" t="s">
        <v>65</v>
      </c>
      <c r="C15" s="9" t="s">
        <v>196</v>
      </c>
      <c r="D15" s="27" t="s">
        <v>197</v>
      </c>
      <c r="E15" s="28" t="s">
        <v>159</v>
      </c>
      <c r="F15" s="9" t="s">
        <v>198</v>
      </c>
      <c r="G15" s="9" t="s">
        <v>199</v>
      </c>
      <c r="H15" s="24" t="s">
        <v>200</v>
      </c>
      <c r="I15" s="9" t="s">
        <v>201</v>
      </c>
      <c r="J15" s="9" t="s">
        <v>202</v>
      </c>
      <c r="K15" s="9" t="s">
        <v>203</v>
      </c>
      <c r="L15" s="26" t="s">
        <v>204</v>
      </c>
    </row>
    <row r="16" customFormat="false" ht="45.75" hidden="false" customHeight="true" outlineLevel="0" collapsed="false">
      <c r="A16" s="24" t="n">
        <v>10</v>
      </c>
      <c r="B16" s="9" t="s">
        <v>65</v>
      </c>
      <c r="C16" s="9" t="s">
        <v>196</v>
      </c>
      <c r="D16" s="9" t="s">
        <v>205</v>
      </c>
      <c r="E16" s="25" t="s">
        <v>134</v>
      </c>
      <c r="F16" s="9" t="s">
        <v>206</v>
      </c>
      <c r="G16" s="9" t="s">
        <v>207</v>
      </c>
      <c r="H16" s="24" t="s">
        <v>171</v>
      </c>
      <c r="I16" s="9" t="s">
        <v>208</v>
      </c>
      <c r="J16" s="9" t="s">
        <v>209</v>
      </c>
      <c r="K16" s="9" t="s">
        <v>210</v>
      </c>
      <c r="L16" s="26" t="s">
        <v>204</v>
      </c>
    </row>
    <row r="17" customFormat="false" ht="45.75" hidden="false" customHeight="true" outlineLevel="0" collapsed="false">
      <c r="A17" s="24" t="n">
        <v>11</v>
      </c>
      <c r="B17" s="9" t="s">
        <v>211</v>
      </c>
      <c r="C17" s="9" t="s">
        <v>212</v>
      </c>
      <c r="D17" s="9" t="s">
        <v>213</v>
      </c>
      <c r="E17" s="25" t="s">
        <v>134</v>
      </c>
      <c r="F17" s="9" t="s">
        <v>214</v>
      </c>
      <c r="G17" s="9" t="s">
        <v>215</v>
      </c>
      <c r="H17" s="24" t="s">
        <v>216</v>
      </c>
      <c r="I17" s="9" t="s">
        <v>217</v>
      </c>
      <c r="J17" s="9" t="s">
        <v>218</v>
      </c>
      <c r="K17" s="9" t="s">
        <v>219</v>
      </c>
      <c r="L17" s="26" t="s">
        <v>220</v>
      </c>
    </row>
    <row r="18" customFormat="false" ht="21.75" hidden="false" customHeight="true" outlineLevel="0" collapsed="false">
      <c r="A18" s="24" t="n">
        <v>12</v>
      </c>
      <c r="B18" s="9" t="s">
        <v>221</v>
      </c>
      <c r="C18" s="9" t="s">
        <v>222</v>
      </c>
      <c r="D18" s="9" t="s">
        <v>223</v>
      </c>
      <c r="E18" s="25" t="s">
        <v>134</v>
      </c>
      <c r="F18" s="9" t="s">
        <v>224</v>
      </c>
      <c r="G18" s="9" t="s">
        <v>225</v>
      </c>
      <c r="H18" s="24" t="s">
        <v>145</v>
      </c>
      <c r="I18" s="9" t="s">
        <v>208</v>
      </c>
      <c r="J18" s="9" t="s">
        <v>226</v>
      </c>
      <c r="K18" s="9" t="s">
        <v>227</v>
      </c>
      <c r="L18" s="26" t="s">
        <v>228</v>
      </c>
    </row>
    <row r="19" customFormat="false" ht="15" hidden="false" customHeight="true" outlineLevel="0" collapsed="false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customFormat="false" ht="13.5" hidden="false" customHeight="true" outlineLevel="0" collapsed="false">
      <c r="A20" s="15" t="s">
        <v>229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customFormat="false" ht="13.5" hidden="false" customHeight="true" outlineLevel="0" collapsed="false">
      <c r="A21" s="17" t="s">
        <v>230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 customFormat="false" ht="13.5" hidden="false" customHeight="true" outlineLevel="0" collapsed="false">
      <c r="A22" s="17" t="s">
        <v>231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customFormat="false" ht="13.5" hidden="false" customHeight="true" outlineLevel="0" collapsed="false">
      <c r="A23" s="17" t="s">
        <v>232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customFormat="false" ht="15" hidden="false" customHeight="true" outlineLevel="0" collapsed="false">
      <c r="A24" s="29" t="s">
        <v>233</v>
      </c>
    </row>
  </sheetData>
  <mergeCells count="18">
    <mergeCell ref="A1:L1"/>
    <mergeCell ref="A2:B2"/>
    <mergeCell ref="C2:G2"/>
    <mergeCell ref="I2:J2"/>
    <mergeCell ref="K2:L2"/>
    <mergeCell ref="A3:B3"/>
    <mergeCell ref="C3:G3"/>
    <mergeCell ref="I3:J3"/>
    <mergeCell ref="K3:L3"/>
    <mergeCell ref="A4:B4"/>
    <mergeCell ref="C4:G4"/>
    <mergeCell ref="I4:J4"/>
    <mergeCell ref="K4:L4"/>
    <mergeCell ref="A19:L19"/>
    <mergeCell ref="A20:L20"/>
    <mergeCell ref="A21:L21"/>
    <mergeCell ref="A22:L22"/>
    <mergeCell ref="A23:L23"/>
  </mergeCells>
  <printOptions headings="false" gridLines="false" gridLinesSet="true" horizontalCentered="false" verticalCentered="false"/>
  <pageMargins left="0.25" right="0.2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2026-10-11T17:59:13Z</dcterms:created>
  <dc:creator>openpyxl</dc:creator>
  <dc:description/>
  <dc:language>en-US</dc:language>
  <cp:lastModifiedBy/>
  <dcterms:modified xsi:type="dcterms:W3CDTF">2026-10-11T19:57:14Z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